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afa\Downloads\"/>
    </mc:Choice>
  </mc:AlternateContent>
  <xr:revisionPtr revIDLastSave="0" documentId="13_ncr:1_{7BFD9D1E-5454-4280-9CA9-C88745093593}" xr6:coauthVersionLast="47" xr6:coauthVersionMax="47" xr10:uidLastSave="{00000000-0000-0000-0000-000000000000}"/>
  <bookViews>
    <workbookView xWindow="-120" yWindow="-120" windowWidth="29040" windowHeight="15720" activeTab="2" xr2:uid="{97006FE0-67AF-4543-8924-70DF8F7F91D9}"/>
  </bookViews>
  <sheets>
    <sheet name="PivotTable" sheetId="4" r:id="rId1"/>
    <sheet name="PivotTable (2)" sheetId="6" r:id="rId2"/>
    <sheet name="Dashboard" sheetId="1" r:id="rId3"/>
  </sheets>
  <calcPr calcId="191029"/>
  <pivotCaches>
    <pivotCache cacheId="1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</calcChain>
</file>

<file path=xl/sharedStrings.xml><?xml version="1.0" encoding="utf-8"?>
<sst xmlns="http://schemas.openxmlformats.org/spreadsheetml/2006/main" count="135" uniqueCount="53">
  <si>
    <t>OrderID</t>
  </si>
  <si>
    <t>Email</t>
  </si>
  <si>
    <t>Product</t>
  </si>
  <si>
    <t>Quantity</t>
  </si>
  <si>
    <t>Price</t>
  </si>
  <si>
    <t>OrderDate</t>
  </si>
  <si>
    <t>City</t>
  </si>
  <si>
    <t>johnsmith@gmail.com</t>
  </si>
  <si>
    <t>Keyboard</t>
  </si>
  <si>
    <t xml:space="preserve">  new york</t>
  </si>
  <si>
    <t>sarah_j@yahoo.com</t>
  </si>
  <si>
    <t>Mouse</t>
  </si>
  <si>
    <t>Chicago</t>
  </si>
  <si>
    <t>dlee@hotmail.com</t>
  </si>
  <si>
    <t>Laptop</t>
  </si>
  <si>
    <t>los angeles</t>
  </si>
  <si>
    <t xml:space="preserve"> maria.g@gmail.com </t>
  </si>
  <si>
    <t>Monitor</t>
  </si>
  <si>
    <t>Houston</t>
  </si>
  <si>
    <t>New York</t>
  </si>
  <si>
    <t>chrisb@gmail.com</t>
  </si>
  <si>
    <t>USB Cable</t>
  </si>
  <si>
    <t>Miami</t>
  </si>
  <si>
    <t>emilyd@gmail.com</t>
  </si>
  <si>
    <t>mwilson@gmail.com</t>
  </si>
  <si>
    <t>Seattle</t>
  </si>
  <si>
    <t>alopez@gmail.com</t>
  </si>
  <si>
    <t>houston</t>
  </si>
  <si>
    <t>Los Angeles</t>
  </si>
  <si>
    <t>kadams@gmail.com</t>
  </si>
  <si>
    <t>denver</t>
  </si>
  <si>
    <t>maria.g@gmail.com</t>
  </si>
  <si>
    <t>Denver</t>
  </si>
  <si>
    <t>new york</t>
  </si>
  <si>
    <t>Revenu</t>
  </si>
  <si>
    <t>Row Labels</t>
  </si>
  <si>
    <t>(blank)</t>
  </si>
  <si>
    <t>Grand Total</t>
  </si>
  <si>
    <t>Sum of Revenu</t>
  </si>
  <si>
    <t>John Smith</t>
  </si>
  <si>
    <t>Sarah Johnson</t>
  </si>
  <si>
    <t>David Lee</t>
  </si>
  <si>
    <t>Maria Garcia</t>
  </si>
  <si>
    <t>Chris Brown</t>
  </si>
  <si>
    <t>Emily Davis</t>
  </si>
  <si>
    <t>Michael Wilson</t>
  </si>
  <si>
    <t>Anna Lopez</t>
  </si>
  <si>
    <t>Kevin Adams</t>
  </si>
  <si>
    <t>Customers</t>
  </si>
  <si>
    <t>Count of Revenu</t>
  </si>
  <si>
    <t>Count of Quantity</t>
  </si>
  <si>
    <t>Sum of Revenu2</t>
  </si>
  <si>
    <t>Count of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</si>
</sst>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  <xf numFmtId="0" fontId="0" fillId="0" borderId="0" xfId="0" applyAlignment="1">
      <alignment horizontal="left" indent="1"/>
    </xf>
    <xf numFmtId="10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1C263BE9-CDB3-4B6B-977A-300C66D79B4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[ExcelDataAnalystic.xlsx]PivotTable!PivotTable3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Customers Total By Revenu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PivotTable!$B$3</c:f>
              <c:strCache>
                <c:ptCount val="1"/>
                <c:pt idx="0">
                  <c:v>Count of Revenu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PivotTable!$A$4:$A$14</c:f>
              <c:strCache>
                <c:ptCount val="10"/>
                <c:pt idx="0">
                  <c:v>Emily Davis</c:v>
                </c:pt>
                <c:pt idx="1">
                  <c:v>Michael Wilson</c:v>
                </c:pt>
                <c:pt idx="2">
                  <c:v>Maria Garcia</c:v>
                </c:pt>
                <c:pt idx="3">
                  <c:v>Chris Brown</c:v>
                </c:pt>
                <c:pt idx="4">
                  <c:v>Sarah Johnson</c:v>
                </c:pt>
                <c:pt idx="5">
                  <c:v>David Lee</c:v>
                </c:pt>
                <c:pt idx="6">
                  <c:v>John Smith</c:v>
                </c:pt>
                <c:pt idx="7">
                  <c:v>Kevin Adams</c:v>
                </c:pt>
                <c:pt idx="8">
                  <c:v>Anna Lopez</c:v>
                </c:pt>
                <c:pt idx="9">
                  <c:v>(blank)</c:v>
                </c:pt>
              </c:strCache>
            </c:strRef>
          </c:cat>
          <c:val>
            <c:numRef>
              <c:f>PivotTable!$B$4:$B$14</c:f>
              <c:numCache>
                <c:formatCode>General</c:formatCode>
                <c:ptCount val="1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61-42F2-8C6A-F89CADBEF0B5}"/>
            </c:ext>
          </c:extLst>
        </c:ser>
        <c:ser>
          <c:idx val="1"/>
          <c:order val="1"/>
          <c:tx>
            <c:strRef>
              <c:f>PivotTable!$C$3</c:f>
              <c:strCache>
                <c:ptCount val="1"/>
                <c:pt idx="0">
                  <c:v>Count of Product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PivotTable!$A$4:$A$14</c:f>
              <c:strCache>
                <c:ptCount val="10"/>
                <c:pt idx="0">
                  <c:v>Emily Davis</c:v>
                </c:pt>
                <c:pt idx="1">
                  <c:v>Michael Wilson</c:v>
                </c:pt>
                <c:pt idx="2">
                  <c:v>Maria Garcia</c:v>
                </c:pt>
                <c:pt idx="3">
                  <c:v>Chris Brown</c:v>
                </c:pt>
                <c:pt idx="4">
                  <c:v>Sarah Johnson</c:v>
                </c:pt>
                <c:pt idx="5">
                  <c:v>David Lee</c:v>
                </c:pt>
                <c:pt idx="6">
                  <c:v>John Smith</c:v>
                </c:pt>
                <c:pt idx="7">
                  <c:v>Kevin Adams</c:v>
                </c:pt>
                <c:pt idx="8">
                  <c:v>Anna Lopez</c:v>
                </c:pt>
                <c:pt idx="9">
                  <c:v>(blank)</c:v>
                </c:pt>
              </c:strCache>
            </c:strRef>
          </c:cat>
          <c:val>
            <c:numRef>
              <c:f>PivotTable!$C$4:$C$14</c:f>
              <c:numCache>
                <c:formatCode>General</c:formatCode>
                <c:ptCount val="1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61-42F2-8C6A-F89CADBEF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overlap val="100"/>
        <c:axId val="1482682527"/>
        <c:axId val="1911564367"/>
      </c:barChart>
      <c:catAx>
        <c:axId val="148268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rgbClr val="00B0F0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564367"/>
        <c:crosses val="autoZero"/>
        <c:auto val="1"/>
        <c:lblAlgn val="ctr"/>
        <c:lblOffset val="100"/>
        <c:noMultiLvlLbl val="0"/>
      </c:catAx>
      <c:valAx>
        <c:axId val="191156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682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[ExcelDataAnalystic.xlsx]PivotTable (2)!PivotTable3</c:name>
    <c:fmtId val="3"/>
  </c:pivotSource>
  <c:chart>
    <c:autoTitleDeleted val="1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B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/>
          <a:sp3d/>
        </c:spPr>
      </c:pivotFmt>
      <c:pivotFmt>
        <c:idx val="3"/>
        <c:spPr>
          <a:solidFill>
            <a:srgbClr val="00B050"/>
          </a:solidFill>
          <a:ln>
            <a:noFill/>
          </a:ln>
          <a:effectLst/>
          <a:sp3d/>
        </c:spPr>
      </c:pivotFmt>
      <c:pivotFmt>
        <c:idx val="4"/>
        <c:spPr>
          <a:solidFill>
            <a:srgbClr val="00B050"/>
          </a:solidFill>
          <a:ln>
            <a:noFill/>
          </a:ln>
          <a:effectLst/>
          <a:sp3d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'PivotTable (2)'!$B$3</c:f>
              <c:strCache>
                <c:ptCount val="1"/>
                <c:pt idx="0">
                  <c:v>Sum of Revenu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0"/>
          <c:cat>
            <c:multiLvlStrRef>
              <c:f>'PivotTable (2)'!$A$4:$A$16</c:f>
              <c:multiLvlStrCache>
                <c:ptCount val="6"/>
                <c:lvl>
                  <c:pt idx="0">
                    <c:v>29.99</c:v>
                  </c:pt>
                  <c:pt idx="1">
                    <c:v>799</c:v>
                  </c:pt>
                  <c:pt idx="2">
                    <c:v>120</c:v>
                  </c:pt>
                  <c:pt idx="3">
                    <c:v>15.5</c:v>
                  </c:pt>
                  <c:pt idx="4">
                    <c:v>5.99</c:v>
                  </c:pt>
                  <c:pt idx="5">
                    <c:v>(blank)</c:v>
                  </c:pt>
                </c:lvl>
                <c:lvl>
                  <c:pt idx="0">
                    <c:v>Keyboard</c:v>
                  </c:pt>
                  <c:pt idx="1">
                    <c:v>Laptop</c:v>
                  </c:pt>
                  <c:pt idx="2">
                    <c:v>Monitor</c:v>
                  </c:pt>
                  <c:pt idx="3">
                    <c:v>Mouse</c:v>
                  </c:pt>
                  <c:pt idx="4">
                    <c:v>USB Cable</c:v>
                  </c:pt>
                  <c:pt idx="5">
                    <c:v>(blank)</c:v>
                  </c:pt>
                </c:lvl>
              </c:multiLvlStrCache>
            </c:multiLvlStrRef>
          </c:cat>
          <c:val>
            <c:numRef>
              <c:f>'PivotTable (2)'!$B$4:$B$16</c:f>
              <c:numCache>
                <c:formatCode>0.00</c:formatCode>
                <c:ptCount val="6"/>
                <c:pt idx="0">
                  <c:v>179.94</c:v>
                </c:pt>
                <c:pt idx="1">
                  <c:v>4794</c:v>
                </c:pt>
                <c:pt idx="2">
                  <c:v>720</c:v>
                </c:pt>
                <c:pt idx="3">
                  <c:v>139.5</c:v>
                </c:pt>
                <c:pt idx="4">
                  <c:v>41.93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8-4F77-96F3-424DDB037872}"/>
            </c:ext>
          </c:extLst>
        </c:ser>
        <c:ser>
          <c:idx val="1"/>
          <c:order val="1"/>
          <c:tx>
            <c:strRef>
              <c:f>'PivotTable (2)'!$C$3</c:f>
              <c:strCache>
                <c:ptCount val="1"/>
                <c:pt idx="0">
                  <c:v>Count of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'PivotTable (2)'!$A$4:$A$16</c:f>
              <c:multiLvlStrCache>
                <c:ptCount val="6"/>
                <c:lvl>
                  <c:pt idx="0">
                    <c:v>29.99</c:v>
                  </c:pt>
                  <c:pt idx="1">
                    <c:v>799</c:v>
                  </c:pt>
                  <c:pt idx="2">
                    <c:v>120</c:v>
                  </c:pt>
                  <c:pt idx="3">
                    <c:v>15.5</c:v>
                  </c:pt>
                  <c:pt idx="4">
                    <c:v>5.99</c:v>
                  </c:pt>
                  <c:pt idx="5">
                    <c:v>(blank)</c:v>
                  </c:pt>
                </c:lvl>
                <c:lvl>
                  <c:pt idx="0">
                    <c:v>Keyboard</c:v>
                  </c:pt>
                  <c:pt idx="1">
                    <c:v>Laptop</c:v>
                  </c:pt>
                  <c:pt idx="2">
                    <c:v>Monitor</c:v>
                  </c:pt>
                  <c:pt idx="3">
                    <c:v>Mouse</c:v>
                  </c:pt>
                  <c:pt idx="4">
                    <c:v>USB Cable</c:v>
                  </c:pt>
                  <c:pt idx="5">
                    <c:v>(blank)</c:v>
                  </c:pt>
                </c:lvl>
              </c:multiLvlStrCache>
            </c:multiLvlStrRef>
          </c:cat>
          <c:val>
            <c:numRef>
              <c:f>'PivotTable (2)'!$C$4:$C$16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48-4F77-96F3-424DDB037872}"/>
            </c:ext>
          </c:extLst>
        </c:ser>
        <c:ser>
          <c:idx val="2"/>
          <c:order val="2"/>
          <c:tx>
            <c:strRef>
              <c:f>'PivotTable (2)'!$D$3</c:f>
              <c:strCache>
                <c:ptCount val="1"/>
                <c:pt idx="0">
                  <c:v>Sum of Revenu2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multiLvlStrRef>
              <c:f>'PivotTable (2)'!$A$4:$A$16</c:f>
              <c:multiLvlStrCache>
                <c:ptCount val="6"/>
                <c:lvl>
                  <c:pt idx="0">
                    <c:v>29.99</c:v>
                  </c:pt>
                  <c:pt idx="1">
                    <c:v>799</c:v>
                  </c:pt>
                  <c:pt idx="2">
                    <c:v>120</c:v>
                  </c:pt>
                  <c:pt idx="3">
                    <c:v>15.5</c:v>
                  </c:pt>
                  <c:pt idx="4">
                    <c:v>5.99</c:v>
                  </c:pt>
                  <c:pt idx="5">
                    <c:v>(blank)</c:v>
                  </c:pt>
                </c:lvl>
                <c:lvl>
                  <c:pt idx="0">
                    <c:v>Keyboard</c:v>
                  </c:pt>
                  <c:pt idx="1">
                    <c:v>Laptop</c:v>
                  </c:pt>
                  <c:pt idx="2">
                    <c:v>Monitor</c:v>
                  </c:pt>
                  <c:pt idx="3">
                    <c:v>Mouse</c:v>
                  </c:pt>
                  <c:pt idx="4">
                    <c:v>USB Cable</c:v>
                  </c:pt>
                  <c:pt idx="5">
                    <c:v>(blank)</c:v>
                  </c:pt>
                </c:lvl>
              </c:multiLvlStrCache>
            </c:multiLvlStrRef>
          </c:cat>
          <c:val>
            <c:numRef>
              <c:f>'PivotTable (2)'!$D$4:$D$16</c:f>
              <c:numCache>
                <c:formatCode>0.00%</c:formatCode>
                <c:ptCount val="6"/>
                <c:pt idx="0">
                  <c:v>3.0626156310155781E-2</c:v>
                </c:pt>
                <c:pt idx="1">
                  <c:v>0.81594861259801499</c:v>
                </c:pt>
                <c:pt idx="2">
                  <c:v>0.12254547373186708</c:v>
                </c:pt>
                <c:pt idx="3">
                  <c:v>2.3743185535549247E-2</c:v>
                </c:pt>
                <c:pt idx="4">
                  <c:v>7.136571824412759E-3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48-4F77-96F3-424DDB037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shape val="box"/>
        <c:axId val="1482682527"/>
        <c:axId val="1911564367"/>
        <c:axId val="0"/>
      </c:bar3DChart>
      <c:catAx>
        <c:axId val="148268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rgbClr val="00B0F0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564367"/>
        <c:crosses val="autoZero"/>
        <c:auto val="1"/>
        <c:lblAlgn val="ctr"/>
        <c:lblOffset val="100"/>
        <c:noMultiLvlLbl val="0"/>
      </c:catAx>
      <c:valAx>
        <c:axId val="191156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682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11</xdr:row>
      <xdr:rowOff>52387</xdr:rowOff>
    </xdr:from>
    <xdr:to>
      <xdr:col>18</xdr:col>
      <xdr:colOff>228600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716417-4F97-D398-59BA-5690B9C13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581025</xdr:colOff>
      <xdr:row>11</xdr:row>
      <xdr:rowOff>33337</xdr:rowOff>
    </xdr:from>
    <xdr:to>
      <xdr:col>18</xdr:col>
      <xdr:colOff>276225</xdr:colOff>
      <xdr:row>25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C8937-4087-46C8-B251-878235A70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afat ouro gouni" refreshedDate="46314.955220833333" createdVersion="8" refreshedVersion="8" minRefreshableVersion="3" recordCount="26" xr:uid="{AE06C33C-56A5-4A3C-958B-2735D91E9D95}">
  <cacheSource type="worksheet">
    <worksheetSource ref="A1:I1048576" sheet="Dashboard"/>
  </cacheSource>
  <cacheFields count="9">
    <cacheField name="OrderID" numFmtId="0">
      <sharedItems containsString="0" containsBlank="1" containsNumber="1" containsInteger="1" minValue="1001" maxValue="1025"/>
    </cacheField>
    <cacheField name="Customers" numFmtId="0">
      <sharedItems containsBlank="1" count="10">
        <s v="John Smith"/>
        <s v="Sarah Johnson"/>
        <s v="David Lee"/>
        <s v="Maria Garcia"/>
        <s v="Chris Brown"/>
        <s v="Emily Davis"/>
        <s v="Michael Wilson"/>
        <s v="Anna Lopez"/>
        <s v="Kevin Adams"/>
        <m/>
      </sharedItems>
    </cacheField>
    <cacheField name="Email" numFmtId="0">
      <sharedItems containsBlank="1"/>
    </cacheField>
    <cacheField name="Product" numFmtId="0">
      <sharedItems containsBlank="1" count="6">
        <s v="Keyboard"/>
        <s v="Mouse"/>
        <s v="Laptop"/>
        <s v="Monitor"/>
        <s v="USB Cable"/>
        <m/>
      </sharedItems>
    </cacheField>
    <cacheField name="Quantity" numFmtId="0">
      <sharedItems containsString="0" containsBlank="1" containsNumber="1" containsInteger="1" minValue="1" maxValue="3"/>
    </cacheField>
    <cacheField name="Price" numFmtId="0">
      <sharedItems containsString="0" containsBlank="1" containsNumber="1" minValue="5.99" maxValue="799" count="6">
        <n v="29.99"/>
        <n v="15.5"/>
        <n v="799"/>
        <n v="120"/>
        <n v="5.99"/>
        <m/>
      </sharedItems>
    </cacheField>
    <cacheField name="OrderDate" numFmtId="0">
      <sharedItems containsNonDate="0" containsDate="1" containsString="0" containsBlank="1" minDate="2024-01-03T00:00:00" maxDate="2024-01-13T00:00:00"/>
    </cacheField>
    <cacheField name="City" numFmtId="0">
      <sharedItems containsBlank="1"/>
    </cacheField>
    <cacheField name="Revenu" numFmtId="0">
      <sharedItems containsString="0" containsBlank="1" containsNumber="1" minValue="5.99" maxValue="7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n v="1001"/>
    <x v="0"/>
    <s v="johnsmith@gmail.com"/>
    <x v="0"/>
    <n v="1"/>
    <x v="0"/>
    <d v="2024-01-03T00:00:00"/>
    <s v="  new york"/>
    <n v="29.99"/>
  </r>
  <r>
    <n v="1002"/>
    <x v="1"/>
    <s v="sarah_j@yahoo.com"/>
    <x v="1"/>
    <n v="2"/>
    <x v="1"/>
    <d v="2024-01-04T00:00:00"/>
    <s v="Chicago"/>
    <n v="31"/>
  </r>
  <r>
    <n v="1003"/>
    <x v="2"/>
    <s v="dlee@hotmail.com"/>
    <x v="2"/>
    <n v="1"/>
    <x v="2"/>
    <d v="2024-01-05T00:00:00"/>
    <s v="los angeles"/>
    <n v="799"/>
  </r>
  <r>
    <n v="1004"/>
    <x v="3"/>
    <s v=" maria.g@gmail.com "/>
    <x v="3"/>
    <n v="1"/>
    <x v="3"/>
    <d v="2024-01-06T00:00:00"/>
    <s v="Houston"/>
    <n v="120"/>
  </r>
  <r>
    <n v="1005"/>
    <x v="0"/>
    <s v="johnsmith@gmail.com"/>
    <x v="0"/>
    <n v="1"/>
    <x v="0"/>
    <d v="2024-01-03T00:00:00"/>
    <s v="New York"/>
    <n v="29.99"/>
  </r>
  <r>
    <n v="1006"/>
    <x v="4"/>
    <s v="chrisb@gmail.com"/>
    <x v="4"/>
    <n v="3"/>
    <x v="4"/>
    <d v="2024-01-07T00:00:00"/>
    <s v="Miami"/>
    <n v="17.97"/>
  </r>
  <r>
    <n v="1007"/>
    <x v="5"/>
    <s v="emilyd@gmail.com"/>
    <x v="1"/>
    <n v="1"/>
    <x v="1"/>
    <d v="2024-01-08T00:00:00"/>
    <s v="Chicago"/>
    <n v="15.5"/>
  </r>
  <r>
    <n v="1008"/>
    <x v="6"/>
    <s v="mwilson@gmail.com"/>
    <x v="2"/>
    <n v="1"/>
    <x v="2"/>
    <d v="2024-01-09T00:00:00"/>
    <s v="Seattle"/>
    <n v="799"/>
  </r>
  <r>
    <n v="1009"/>
    <x v="7"/>
    <s v="alopez@gmail.com"/>
    <x v="3"/>
    <n v="2"/>
    <x v="3"/>
    <d v="2024-01-10T00:00:00"/>
    <s v="Houston"/>
    <n v="240"/>
  </r>
  <r>
    <n v="1010"/>
    <x v="2"/>
    <s v="dlee@hotmail.com"/>
    <x v="2"/>
    <n v="1"/>
    <x v="2"/>
    <d v="2024-01-05T00:00:00"/>
    <s v="los angeles"/>
    <n v="799"/>
  </r>
  <r>
    <n v="1011"/>
    <x v="8"/>
    <s v="kadams@gmail.com"/>
    <x v="0"/>
    <n v="2"/>
    <x v="0"/>
    <d v="2024-01-11T00:00:00"/>
    <s v="denver"/>
    <n v="59.98"/>
  </r>
  <r>
    <n v="1012"/>
    <x v="1"/>
    <s v="sarah_j@yahoo.com"/>
    <x v="1"/>
    <n v="1"/>
    <x v="1"/>
    <d v="2024-01-12T00:00:00"/>
    <s v="Chicago"/>
    <n v="15.5"/>
  </r>
  <r>
    <n v="1013"/>
    <x v="3"/>
    <s v="maria.g@gmail.com"/>
    <x v="3"/>
    <n v="1"/>
    <x v="3"/>
    <d v="2024-01-06T00:00:00"/>
    <s v="Houston"/>
    <n v="120"/>
  </r>
  <r>
    <n v="1014"/>
    <x v="4"/>
    <s v="chrisb@gmail.com"/>
    <x v="4"/>
    <n v="1"/>
    <x v="4"/>
    <d v="2024-01-07T00:00:00"/>
    <s v="Miami"/>
    <n v="5.99"/>
  </r>
  <r>
    <n v="1015"/>
    <x v="5"/>
    <s v="emilyd@gmail.com"/>
    <x v="1"/>
    <n v="2"/>
    <x v="1"/>
    <d v="2024-01-08T00:00:00"/>
    <s v="Chicago"/>
    <n v="31"/>
  </r>
  <r>
    <n v="1016"/>
    <x v="6"/>
    <s v="mwilson@gmail.com"/>
    <x v="2"/>
    <n v="1"/>
    <x v="2"/>
    <d v="2024-01-09T00:00:00"/>
    <s v="Seattle"/>
    <n v="799"/>
  </r>
  <r>
    <n v="1017"/>
    <x v="7"/>
    <s v="alopez@gmail.com"/>
    <x v="3"/>
    <n v="1"/>
    <x v="3"/>
    <d v="2024-01-10T00:00:00"/>
    <s v="Houston"/>
    <n v="120"/>
  </r>
  <r>
    <n v="1018"/>
    <x v="8"/>
    <s v="kadams@gmail.com"/>
    <x v="0"/>
    <n v="1"/>
    <x v="0"/>
    <d v="2024-01-11T00:00:00"/>
    <s v="denver"/>
    <n v="29.99"/>
  </r>
  <r>
    <n v="1019"/>
    <x v="0"/>
    <s v="johnsmith@gmail.com"/>
    <x v="0"/>
    <n v="1"/>
    <x v="0"/>
    <d v="2024-01-03T00:00:00"/>
    <s v="New York"/>
    <n v="29.99"/>
  </r>
  <r>
    <n v="1020"/>
    <x v="1"/>
    <s v="sarah_j@yahoo.com"/>
    <x v="1"/>
    <n v="2"/>
    <x v="1"/>
    <d v="2024-01-04T00:00:00"/>
    <s v="Chicago"/>
    <n v="31"/>
  </r>
  <r>
    <n v="1021"/>
    <x v="2"/>
    <s v="dlee@hotmail.com"/>
    <x v="2"/>
    <n v="1"/>
    <x v="2"/>
    <d v="2024-01-05T00:00:00"/>
    <s v="los angeles"/>
    <n v="799"/>
  </r>
  <r>
    <n v="1022"/>
    <x v="3"/>
    <s v=" maria.g@gmail.com "/>
    <x v="3"/>
    <n v="1"/>
    <x v="3"/>
    <d v="2024-01-06T00:00:00"/>
    <s v="Houston"/>
    <n v="120"/>
  </r>
  <r>
    <n v="1023"/>
    <x v="4"/>
    <s v="chrisb@gmail.com"/>
    <x v="4"/>
    <n v="3"/>
    <x v="4"/>
    <d v="2024-01-07T00:00:00"/>
    <s v="Miami"/>
    <n v="17.97"/>
  </r>
  <r>
    <n v="1024"/>
    <x v="5"/>
    <s v="emilyd@gmail.com"/>
    <x v="1"/>
    <n v="1"/>
    <x v="1"/>
    <d v="2024-01-08T00:00:00"/>
    <s v="Chicago"/>
    <n v="15.5"/>
  </r>
  <r>
    <n v="1025"/>
    <x v="6"/>
    <s v="mwilson@gmail.com"/>
    <x v="2"/>
    <n v="1"/>
    <x v="2"/>
    <d v="2024-01-09T00:00:00"/>
    <s v="Seattle"/>
    <n v="799"/>
  </r>
  <r>
    <m/>
    <x v="9"/>
    <m/>
    <x v="5"/>
    <m/>
    <x v="5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F1EAB2-791C-47C9-8A76-5BDFDCBAD578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C14" firstHeaderRow="0" firstDataRow="1" firstDataCol="1"/>
  <pivotFields count="9">
    <pivotField showAll="0"/>
    <pivotField axis="axisRow" showAll="0" sortType="descending">
      <items count="11">
        <item x="7"/>
        <item x="4"/>
        <item x="2"/>
        <item x="5"/>
        <item x="0"/>
        <item x="8"/>
        <item x="3"/>
        <item x="6"/>
        <item x="1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>
      <items count="7">
        <item x="0"/>
        <item x="2"/>
        <item x="3"/>
        <item x="1"/>
        <item x="4"/>
        <item x="5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11">
    <i>
      <x v="3"/>
    </i>
    <i>
      <x v="7"/>
    </i>
    <i>
      <x v="6"/>
    </i>
    <i>
      <x v="1"/>
    </i>
    <i>
      <x v="8"/>
    </i>
    <i>
      <x v="2"/>
    </i>
    <i>
      <x v="4"/>
    </i>
    <i>
      <x v="5"/>
    </i>
    <i>
      <x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Revenu" fld="8" subtotal="count" baseField="1" baseItem="0"/>
    <dataField name="Count of Product" fld="3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BE914A-51E3-498A-ACB8-BCE2AE367DED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D16" firstHeaderRow="0" firstDataRow="1" firstDataCol="1"/>
  <pivotFields count="9">
    <pivotField showAll="0"/>
    <pivotField showAll="0" sortType="descending">
      <items count="11">
        <item x="7"/>
        <item x="4"/>
        <item x="2"/>
        <item x="5"/>
        <item x="0"/>
        <item x="8"/>
        <item x="3"/>
        <item x="6"/>
        <item x="1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7">
        <item x="0"/>
        <item x="2"/>
        <item x="3"/>
        <item x="1"/>
        <item x="4"/>
        <item x="5"/>
        <item t="default"/>
      </items>
    </pivotField>
    <pivotField dataField="1" showAll="0"/>
    <pivotField axis="axisRow" showAll="0">
      <items count="7">
        <item x="4"/>
        <item x="1"/>
        <item x="0"/>
        <item x="3"/>
        <item x="2"/>
        <item x="5"/>
        <item t="default"/>
      </items>
    </pivotField>
    <pivotField showAll="0"/>
    <pivotField showAll="0"/>
    <pivotField dataField="1" showAll="0"/>
  </pivotFields>
  <rowFields count="2">
    <field x="3"/>
    <field x="5"/>
  </rowFields>
  <rowItems count="13">
    <i>
      <x/>
    </i>
    <i r="1">
      <x v="2"/>
    </i>
    <i>
      <x v="1"/>
    </i>
    <i r="1">
      <x v="4"/>
    </i>
    <i>
      <x v="2"/>
    </i>
    <i r="1">
      <x v="3"/>
    </i>
    <i>
      <x v="3"/>
    </i>
    <i r="1">
      <x v="1"/>
    </i>
    <i>
      <x v="4"/>
    </i>
    <i r="1">
      <x/>
    </i>
    <i>
      <x v="5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" fld="8" baseField="1" baseItem="0" numFmtId="2"/>
    <dataField name="Count of Quantity" fld="4" subtotal="count" baseField="0" baseItem="0"/>
    <dataField name="Sum of Revenu2" fld="8" showDataAs="percentOfTotal" baseField="0" baseItem="0" numFmtId="1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3">
          <reference field="4294967294" count="1" selected="0">
            <x v="0"/>
          </reference>
          <reference field="3" count="1" selected="0">
            <x v="3"/>
          </reference>
          <reference field="5" count="1" selected="0">
            <x v="1"/>
          </reference>
        </references>
      </pivotArea>
    </chartFormat>
    <chartFormat chart="3" format="3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5" count="1" selected="0">
            <x v="3"/>
          </reference>
        </references>
      </pivotArea>
    </chartFormat>
    <chartFormat chart="3" format="4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5" count="1" selected="0">
            <x v="4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5D664-1446-470C-9D8E-57CA0356D004}">
  <dimension ref="A3:C14"/>
  <sheetViews>
    <sheetView workbookViewId="0">
      <selection activeCell="F21" sqref="F21:G21"/>
    </sheetView>
  </sheetViews>
  <sheetFormatPr defaultRowHeight="15" x14ac:dyDescent="0.25"/>
  <cols>
    <col min="1" max="1" width="14.7109375" bestFit="1" customWidth="1"/>
    <col min="2" max="2" width="16.28515625" bestFit="1" customWidth="1"/>
    <col min="3" max="3" width="16.42578125" bestFit="1" customWidth="1"/>
  </cols>
  <sheetData>
    <row r="3" spans="1:3" x14ac:dyDescent="0.25">
      <c r="A3" s="2" t="s">
        <v>35</v>
      </c>
      <c r="B3" t="s">
        <v>49</v>
      </c>
      <c r="C3" t="s">
        <v>52</v>
      </c>
    </row>
    <row r="4" spans="1:3" x14ac:dyDescent="0.25">
      <c r="A4" s="3" t="s">
        <v>44</v>
      </c>
      <c r="B4" s="4">
        <v>3</v>
      </c>
      <c r="C4" s="4">
        <v>3</v>
      </c>
    </row>
    <row r="5" spans="1:3" x14ac:dyDescent="0.25">
      <c r="A5" s="3" t="s">
        <v>45</v>
      </c>
      <c r="B5" s="4">
        <v>3</v>
      </c>
      <c r="C5" s="4">
        <v>3</v>
      </c>
    </row>
    <row r="6" spans="1:3" x14ac:dyDescent="0.25">
      <c r="A6" s="3" t="s">
        <v>42</v>
      </c>
      <c r="B6" s="4">
        <v>3</v>
      </c>
      <c r="C6" s="4">
        <v>3</v>
      </c>
    </row>
    <row r="7" spans="1:3" x14ac:dyDescent="0.25">
      <c r="A7" s="3" t="s">
        <v>43</v>
      </c>
      <c r="B7" s="4">
        <v>3</v>
      </c>
      <c r="C7" s="4">
        <v>3</v>
      </c>
    </row>
    <row r="8" spans="1:3" x14ac:dyDescent="0.25">
      <c r="A8" s="3" t="s">
        <v>40</v>
      </c>
      <c r="B8" s="4">
        <v>3</v>
      </c>
      <c r="C8" s="4">
        <v>3</v>
      </c>
    </row>
    <row r="9" spans="1:3" x14ac:dyDescent="0.25">
      <c r="A9" s="3" t="s">
        <v>41</v>
      </c>
      <c r="B9" s="4">
        <v>3</v>
      </c>
      <c r="C9" s="4">
        <v>3</v>
      </c>
    </row>
    <row r="10" spans="1:3" x14ac:dyDescent="0.25">
      <c r="A10" s="3" t="s">
        <v>39</v>
      </c>
      <c r="B10" s="4">
        <v>3</v>
      </c>
      <c r="C10" s="4">
        <v>3</v>
      </c>
    </row>
    <row r="11" spans="1:3" x14ac:dyDescent="0.25">
      <c r="A11" s="3" t="s">
        <v>47</v>
      </c>
      <c r="B11" s="4">
        <v>2</v>
      </c>
      <c r="C11" s="4">
        <v>2</v>
      </c>
    </row>
    <row r="12" spans="1:3" x14ac:dyDescent="0.25">
      <c r="A12" s="3" t="s">
        <v>46</v>
      </c>
      <c r="B12" s="4">
        <v>2</v>
      </c>
      <c r="C12" s="4">
        <v>2</v>
      </c>
    </row>
    <row r="13" spans="1:3" x14ac:dyDescent="0.25">
      <c r="A13" s="3" t="s">
        <v>36</v>
      </c>
      <c r="B13" s="4"/>
      <c r="C13" s="4"/>
    </row>
    <row r="14" spans="1:3" x14ac:dyDescent="0.25">
      <c r="A14" s="3" t="s">
        <v>37</v>
      </c>
      <c r="B14" s="4">
        <v>25</v>
      </c>
      <c r="C14" s="4">
        <v>25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EBF03-95D1-4B09-86D5-E8CE1E25BBC3}">
  <dimension ref="A3:D16"/>
  <sheetViews>
    <sheetView workbookViewId="0">
      <selection activeCell="A3" sqref="A3"/>
    </sheetView>
  </sheetViews>
  <sheetFormatPr defaultRowHeight="15" x14ac:dyDescent="0.25"/>
  <cols>
    <col min="1" max="1" width="13.42578125" bestFit="1" customWidth="1"/>
    <col min="2" max="2" width="14.7109375" bestFit="1" customWidth="1"/>
    <col min="3" max="3" width="17.28515625" bestFit="1" customWidth="1"/>
    <col min="4" max="4" width="15.7109375" bestFit="1" customWidth="1"/>
    <col min="5" max="5" width="15.5703125" bestFit="1" customWidth="1"/>
  </cols>
  <sheetData>
    <row r="3" spans="1:4" x14ac:dyDescent="0.25">
      <c r="A3" s="2" t="s">
        <v>35</v>
      </c>
      <c r="B3" t="s">
        <v>38</v>
      </c>
      <c r="C3" t="s">
        <v>50</v>
      </c>
      <c r="D3" t="s">
        <v>51</v>
      </c>
    </row>
    <row r="4" spans="1:4" x14ac:dyDescent="0.25">
      <c r="A4" s="3" t="s">
        <v>8</v>
      </c>
      <c r="B4" s="5">
        <v>179.94</v>
      </c>
      <c r="C4" s="4">
        <v>5</v>
      </c>
      <c r="D4" s="7">
        <v>3.0626156310155781E-2</v>
      </c>
    </row>
    <row r="5" spans="1:4" x14ac:dyDescent="0.25">
      <c r="A5" s="6">
        <v>29.99</v>
      </c>
      <c r="B5" s="5">
        <v>179.94</v>
      </c>
      <c r="C5" s="4">
        <v>5</v>
      </c>
      <c r="D5" s="7">
        <v>3.0626156310155781E-2</v>
      </c>
    </row>
    <row r="6" spans="1:4" x14ac:dyDescent="0.25">
      <c r="A6" s="3" t="s">
        <v>14</v>
      </c>
      <c r="B6" s="5">
        <v>4794</v>
      </c>
      <c r="C6" s="4">
        <v>6</v>
      </c>
      <c r="D6" s="7">
        <v>0.81594861259801499</v>
      </c>
    </row>
    <row r="7" spans="1:4" x14ac:dyDescent="0.25">
      <c r="A7" s="6">
        <v>799</v>
      </c>
      <c r="B7" s="5">
        <v>4794</v>
      </c>
      <c r="C7" s="4">
        <v>6</v>
      </c>
      <c r="D7" s="7">
        <v>0.81594861259801499</v>
      </c>
    </row>
    <row r="8" spans="1:4" x14ac:dyDescent="0.25">
      <c r="A8" s="3" t="s">
        <v>17</v>
      </c>
      <c r="B8" s="5">
        <v>720</v>
      </c>
      <c r="C8" s="4">
        <v>5</v>
      </c>
      <c r="D8" s="7">
        <v>0.12254547373186708</v>
      </c>
    </row>
    <row r="9" spans="1:4" x14ac:dyDescent="0.25">
      <c r="A9" s="6">
        <v>120</v>
      </c>
      <c r="B9" s="5">
        <v>720</v>
      </c>
      <c r="C9" s="4">
        <v>5</v>
      </c>
      <c r="D9" s="7">
        <v>0.12254547373186708</v>
      </c>
    </row>
    <row r="10" spans="1:4" x14ac:dyDescent="0.25">
      <c r="A10" s="3" t="s">
        <v>11</v>
      </c>
      <c r="B10" s="5">
        <v>139.5</v>
      </c>
      <c r="C10" s="4">
        <v>6</v>
      </c>
      <c r="D10" s="7">
        <v>2.3743185535549247E-2</v>
      </c>
    </row>
    <row r="11" spans="1:4" x14ac:dyDescent="0.25">
      <c r="A11" s="6">
        <v>15.5</v>
      </c>
      <c r="B11" s="5">
        <v>139.5</v>
      </c>
      <c r="C11" s="4">
        <v>6</v>
      </c>
      <c r="D11" s="7">
        <v>2.3743185535549247E-2</v>
      </c>
    </row>
    <row r="12" spans="1:4" x14ac:dyDescent="0.25">
      <c r="A12" s="3" t="s">
        <v>21</v>
      </c>
      <c r="B12" s="5">
        <v>41.93</v>
      </c>
      <c r="C12" s="4">
        <v>3</v>
      </c>
      <c r="D12" s="7">
        <v>7.136571824412759E-3</v>
      </c>
    </row>
    <row r="13" spans="1:4" x14ac:dyDescent="0.25">
      <c r="A13" s="6">
        <v>5.99</v>
      </c>
      <c r="B13" s="5">
        <v>41.93</v>
      </c>
      <c r="C13" s="4">
        <v>3</v>
      </c>
      <c r="D13" s="7">
        <v>7.136571824412759E-3</v>
      </c>
    </row>
    <row r="14" spans="1:4" x14ac:dyDescent="0.25">
      <c r="A14" s="3" t="s">
        <v>36</v>
      </c>
      <c r="B14" s="5"/>
      <c r="C14" s="4"/>
      <c r="D14" s="7">
        <v>0</v>
      </c>
    </row>
    <row r="15" spans="1:4" x14ac:dyDescent="0.25">
      <c r="A15" s="6" t="s">
        <v>36</v>
      </c>
      <c r="B15" s="5"/>
      <c r="C15" s="4"/>
      <c r="D15" s="7">
        <v>0</v>
      </c>
    </row>
    <row r="16" spans="1:4" x14ac:dyDescent="0.25">
      <c r="A16" s="3" t="s">
        <v>37</v>
      </c>
      <c r="B16" s="5">
        <v>5875.3700000000008</v>
      </c>
      <c r="C16" s="4">
        <v>25</v>
      </c>
      <c r="D16" s="7">
        <v>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9ADA-3E77-42E8-AC68-1ABEC05F55BB}">
  <dimension ref="A1:I26"/>
  <sheetViews>
    <sheetView tabSelected="1" workbookViewId="0">
      <selection activeCell="J26" sqref="A1:J26"/>
    </sheetView>
  </sheetViews>
  <sheetFormatPr defaultRowHeight="15" x14ac:dyDescent="0.25"/>
  <sheetData>
    <row r="1" spans="1:9" x14ac:dyDescent="0.25">
      <c r="A1" t="s">
        <v>0</v>
      </c>
      <c r="B1" t="s">
        <v>48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34</v>
      </c>
    </row>
    <row r="2" spans="1:9" x14ac:dyDescent="0.25">
      <c r="A2">
        <v>1001</v>
      </c>
      <c r="B2" t="s">
        <v>39</v>
      </c>
      <c r="C2" t="s">
        <v>7</v>
      </c>
      <c r="D2" t="s">
        <v>8</v>
      </c>
      <c r="E2">
        <v>1</v>
      </c>
      <c r="F2">
        <v>29.99</v>
      </c>
      <c r="G2" s="1">
        <v>45294</v>
      </c>
      <c r="H2" t="s">
        <v>9</v>
      </c>
      <c r="I2">
        <f>E2 * F2</f>
        <v>29.99</v>
      </c>
    </row>
    <row r="3" spans="1:9" x14ac:dyDescent="0.25">
      <c r="A3">
        <v>1002</v>
      </c>
      <c r="B3" t="s">
        <v>40</v>
      </c>
      <c r="C3" t="s">
        <v>10</v>
      </c>
      <c r="D3" t="s">
        <v>11</v>
      </c>
      <c r="E3">
        <v>2</v>
      </c>
      <c r="F3">
        <v>15.5</v>
      </c>
      <c r="G3" s="1">
        <v>45295</v>
      </c>
      <c r="H3" t="s">
        <v>12</v>
      </c>
      <c r="I3">
        <f t="shared" ref="I3:I26" si="0">E3 * F3</f>
        <v>31</v>
      </c>
    </row>
    <row r="4" spans="1:9" x14ac:dyDescent="0.25">
      <c r="A4">
        <v>1003</v>
      </c>
      <c r="B4" t="s">
        <v>41</v>
      </c>
      <c r="C4" t="s">
        <v>13</v>
      </c>
      <c r="D4" t="s">
        <v>14</v>
      </c>
      <c r="E4">
        <v>1</v>
      </c>
      <c r="F4">
        <v>799</v>
      </c>
      <c r="G4" s="1">
        <v>45296</v>
      </c>
      <c r="H4" t="s">
        <v>15</v>
      </c>
      <c r="I4">
        <f t="shared" si="0"/>
        <v>799</v>
      </c>
    </row>
    <row r="5" spans="1:9" x14ac:dyDescent="0.25">
      <c r="A5">
        <v>1004</v>
      </c>
      <c r="B5" t="s">
        <v>42</v>
      </c>
      <c r="C5" t="s">
        <v>16</v>
      </c>
      <c r="D5" t="s">
        <v>17</v>
      </c>
      <c r="E5">
        <v>1</v>
      </c>
      <c r="F5">
        <v>120</v>
      </c>
      <c r="G5" s="1">
        <v>45297</v>
      </c>
      <c r="H5" t="s">
        <v>18</v>
      </c>
      <c r="I5">
        <f t="shared" si="0"/>
        <v>120</v>
      </c>
    </row>
    <row r="6" spans="1:9" x14ac:dyDescent="0.25">
      <c r="A6">
        <v>1005</v>
      </c>
      <c r="B6" t="s">
        <v>39</v>
      </c>
      <c r="C6" t="s">
        <v>7</v>
      </c>
      <c r="D6" t="s">
        <v>8</v>
      </c>
      <c r="E6">
        <v>1</v>
      </c>
      <c r="F6">
        <v>29.99</v>
      </c>
      <c r="G6" s="1">
        <v>45294</v>
      </c>
      <c r="H6" t="s">
        <v>19</v>
      </c>
      <c r="I6">
        <f t="shared" si="0"/>
        <v>29.99</v>
      </c>
    </row>
    <row r="7" spans="1:9" x14ac:dyDescent="0.25">
      <c r="A7">
        <v>1006</v>
      </c>
      <c r="B7" t="s">
        <v>43</v>
      </c>
      <c r="C7" t="s">
        <v>20</v>
      </c>
      <c r="D7" t="s">
        <v>21</v>
      </c>
      <c r="E7">
        <v>3</v>
      </c>
      <c r="F7">
        <v>5.99</v>
      </c>
      <c r="G7" s="1">
        <v>45298</v>
      </c>
      <c r="H7" t="s">
        <v>22</v>
      </c>
      <c r="I7">
        <f t="shared" si="0"/>
        <v>17.97</v>
      </c>
    </row>
    <row r="8" spans="1:9" x14ac:dyDescent="0.25">
      <c r="A8">
        <v>1007</v>
      </c>
      <c r="B8" t="s">
        <v>44</v>
      </c>
      <c r="C8" t="s">
        <v>23</v>
      </c>
      <c r="D8" t="s">
        <v>11</v>
      </c>
      <c r="E8">
        <v>1</v>
      </c>
      <c r="F8">
        <v>15.5</v>
      </c>
      <c r="G8" s="1">
        <v>45299</v>
      </c>
      <c r="H8" t="s">
        <v>12</v>
      </c>
      <c r="I8">
        <f t="shared" si="0"/>
        <v>15.5</v>
      </c>
    </row>
    <row r="9" spans="1:9" x14ac:dyDescent="0.25">
      <c r="A9">
        <v>1008</v>
      </c>
      <c r="B9" t="s">
        <v>45</v>
      </c>
      <c r="C9" t="s">
        <v>24</v>
      </c>
      <c r="D9" t="s">
        <v>14</v>
      </c>
      <c r="E9">
        <v>1</v>
      </c>
      <c r="F9">
        <v>799</v>
      </c>
      <c r="G9" s="1">
        <v>45300</v>
      </c>
      <c r="H9" t="s">
        <v>25</v>
      </c>
      <c r="I9">
        <f t="shared" si="0"/>
        <v>799</v>
      </c>
    </row>
    <row r="10" spans="1:9" x14ac:dyDescent="0.25">
      <c r="A10">
        <v>1009</v>
      </c>
      <c r="B10" t="s">
        <v>46</v>
      </c>
      <c r="C10" t="s">
        <v>26</v>
      </c>
      <c r="D10" t="s">
        <v>17</v>
      </c>
      <c r="E10">
        <v>2</v>
      </c>
      <c r="F10">
        <v>120</v>
      </c>
      <c r="G10" s="1">
        <v>45301</v>
      </c>
      <c r="H10" t="s">
        <v>27</v>
      </c>
      <c r="I10">
        <f t="shared" si="0"/>
        <v>240</v>
      </c>
    </row>
    <row r="11" spans="1:9" x14ac:dyDescent="0.25">
      <c r="A11">
        <v>1010</v>
      </c>
      <c r="B11" t="s">
        <v>41</v>
      </c>
      <c r="C11" t="s">
        <v>13</v>
      </c>
      <c r="D11" t="s">
        <v>14</v>
      </c>
      <c r="E11">
        <v>1</v>
      </c>
      <c r="F11">
        <v>799</v>
      </c>
      <c r="G11" s="1">
        <v>45296</v>
      </c>
      <c r="H11" t="s">
        <v>28</v>
      </c>
      <c r="I11">
        <f t="shared" si="0"/>
        <v>799</v>
      </c>
    </row>
    <row r="12" spans="1:9" x14ac:dyDescent="0.25">
      <c r="A12">
        <v>1011</v>
      </c>
      <c r="B12" t="s">
        <v>47</v>
      </c>
      <c r="C12" t="s">
        <v>29</v>
      </c>
      <c r="D12" t="s">
        <v>8</v>
      </c>
      <c r="E12">
        <v>2</v>
      </c>
      <c r="F12">
        <v>29.99</v>
      </c>
      <c r="G12" s="1">
        <v>45302</v>
      </c>
      <c r="H12" t="s">
        <v>30</v>
      </c>
      <c r="I12">
        <f t="shared" si="0"/>
        <v>59.98</v>
      </c>
    </row>
    <row r="13" spans="1:9" x14ac:dyDescent="0.25">
      <c r="A13">
        <v>1012</v>
      </c>
      <c r="B13" t="s">
        <v>40</v>
      </c>
      <c r="C13" t="s">
        <v>10</v>
      </c>
      <c r="D13" t="s">
        <v>11</v>
      </c>
      <c r="E13">
        <v>1</v>
      </c>
      <c r="F13">
        <v>15.5</v>
      </c>
      <c r="G13" s="1">
        <v>45303</v>
      </c>
      <c r="H13" t="s">
        <v>12</v>
      </c>
      <c r="I13">
        <f t="shared" si="0"/>
        <v>15.5</v>
      </c>
    </row>
    <row r="14" spans="1:9" x14ac:dyDescent="0.25">
      <c r="A14">
        <v>1013</v>
      </c>
      <c r="B14" t="s">
        <v>42</v>
      </c>
      <c r="C14" t="s">
        <v>31</v>
      </c>
      <c r="D14" t="s">
        <v>17</v>
      </c>
      <c r="E14">
        <v>1</v>
      </c>
      <c r="F14">
        <v>120</v>
      </c>
      <c r="G14" s="1">
        <v>45297</v>
      </c>
      <c r="H14" t="s">
        <v>18</v>
      </c>
      <c r="I14">
        <f t="shared" si="0"/>
        <v>120</v>
      </c>
    </row>
    <row r="15" spans="1:9" x14ac:dyDescent="0.25">
      <c r="A15">
        <v>1014</v>
      </c>
      <c r="B15" t="s">
        <v>43</v>
      </c>
      <c r="C15" t="s">
        <v>20</v>
      </c>
      <c r="D15" t="s">
        <v>21</v>
      </c>
      <c r="E15">
        <v>1</v>
      </c>
      <c r="F15">
        <v>5.99</v>
      </c>
      <c r="G15" s="1">
        <v>45298</v>
      </c>
      <c r="H15" t="s">
        <v>22</v>
      </c>
      <c r="I15">
        <f t="shared" si="0"/>
        <v>5.99</v>
      </c>
    </row>
    <row r="16" spans="1:9" x14ac:dyDescent="0.25">
      <c r="A16">
        <v>1015</v>
      </c>
      <c r="B16" t="s">
        <v>44</v>
      </c>
      <c r="C16" t="s">
        <v>23</v>
      </c>
      <c r="D16" t="s">
        <v>11</v>
      </c>
      <c r="E16">
        <v>2</v>
      </c>
      <c r="F16">
        <v>15.5</v>
      </c>
      <c r="G16" s="1">
        <v>45299</v>
      </c>
      <c r="H16" t="s">
        <v>12</v>
      </c>
      <c r="I16">
        <f t="shared" si="0"/>
        <v>31</v>
      </c>
    </row>
    <row r="17" spans="1:9" x14ac:dyDescent="0.25">
      <c r="A17">
        <v>1016</v>
      </c>
      <c r="B17" t="s">
        <v>45</v>
      </c>
      <c r="C17" t="s">
        <v>24</v>
      </c>
      <c r="D17" t="s">
        <v>14</v>
      </c>
      <c r="E17">
        <v>1</v>
      </c>
      <c r="F17">
        <v>799</v>
      </c>
      <c r="G17" s="1">
        <v>45300</v>
      </c>
      <c r="H17" t="s">
        <v>25</v>
      </c>
      <c r="I17">
        <f t="shared" si="0"/>
        <v>799</v>
      </c>
    </row>
    <row r="18" spans="1:9" x14ac:dyDescent="0.25">
      <c r="A18">
        <v>1017</v>
      </c>
      <c r="B18" t="s">
        <v>46</v>
      </c>
      <c r="C18" t="s">
        <v>26</v>
      </c>
      <c r="D18" t="s">
        <v>17</v>
      </c>
      <c r="E18">
        <v>1</v>
      </c>
      <c r="F18">
        <v>120</v>
      </c>
      <c r="G18" s="1">
        <v>45301</v>
      </c>
      <c r="H18" t="s">
        <v>18</v>
      </c>
      <c r="I18">
        <f t="shared" si="0"/>
        <v>120</v>
      </c>
    </row>
    <row r="19" spans="1:9" x14ac:dyDescent="0.25">
      <c r="A19">
        <v>1018</v>
      </c>
      <c r="B19" t="s">
        <v>47</v>
      </c>
      <c r="C19" t="s">
        <v>29</v>
      </c>
      <c r="D19" t="s">
        <v>8</v>
      </c>
      <c r="E19">
        <v>1</v>
      </c>
      <c r="F19">
        <v>29.99</v>
      </c>
      <c r="G19" s="1">
        <v>45302</v>
      </c>
      <c r="H19" t="s">
        <v>32</v>
      </c>
      <c r="I19">
        <f t="shared" si="0"/>
        <v>29.99</v>
      </c>
    </row>
    <row r="20" spans="1:9" x14ac:dyDescent="0.25">
      <c r="A20">
        <v>1019</v>
      </c>
      <c r="B20" t="s">
        <v>39</v>
      </c>
      <c r="C20" t="s">
        <v>7</v>
      </c>
      <c r="D20" t="s">
        <v>8</v>
      </c>
      <c r="E20">
        <v>1</v>
      </c>
      <c r="F20">
        <v>29.99</v>
      </c>
      <c r="G20" s="1">
        <v>45294</v>
      </c>
      <c r="H20" t="s">
        <v>33</v>
      </c>
      <c r="I20">
        <f t="shared" si="0"/>
        <v>29.99</v>
      </c>
    </row>
    <row r="21" spans="1:9" x14ac:dyDescent="0.25">
      <c r="A21">
        <v>1020</v>
      </c>
      <c r="B21" t="s">
        <v>40</v>
      </c>
      <c r="C21" t="s">
        <v>10</v>
      </c>
      <c r="D21" t="s">
        <v>11</v>
      </c>
      <c r="E21">
        <v>2</v>
      </c>
      <c r="F21">
        <v>15.5</v>
      </c>
      <c r="G21" s="1">
        <v>45295</v>
      </c>
      <c r="H21" t="s">
        <v>12</v>
      </c>
      <c r="I21">
        <f t="shared" si="0"/>
        <v>31</v>
      </c>
    </row>
    <row r="22" spans="1:9" x14ac:dyDescent="0.25">
      <c r="A22">
        <v>1021</v>
      </c>
      <c r="B22" t="s">
        <v>41</v>
      </c>
      <c r="C22" t="s">
        <v>13</v>
      </c>
      <c r="D22" t="s">
        <v>14</v>
      </c>
      <c r="E22">
        <v>1</v>
      </c>
      <c r="F22">
        <v>799</v>
      </c>
      <c r="G22" s="1">
        <v>45296</v>
      </c>
      <c r="H22" t="s">
        <v>15</v>
      </c>
      <c r="I22">
        <f t="shared" si="0"/>
        <v>799</v>
      </c>
    </row>
    <row r="23" spans="1:9" x14ac:dyDescent="0.25">
      <c r="A23">
        <v>1022</v>
      </c>
      <c r="B23" t="s">
        <v>42</v>
      </c>
      <c r="C23" t="s">
        <v>16</v>
      </c>
      <c r="D23" t="s">
        <v>17</v>
      </c>
      <c r="E23">
        <v>1</v>
      </c>
      <c r="F23">
        <v>120</v>
      </c>
      <c r="G23" s="1">
        <v>45297</v>
      </c>
      <c r="H23" t="s">
        <v>18</v>
      </c>
      <c r="I23">
        <f t="shared" si="0"/>
        <v>120</v>
      </c>
    </row>
    <row r="24" spans="1:9" x14ac:dyDescent="0.25">
      <c r="A24">
        <v>1023</v>
      </c>
      <c r="B24" t="s">
        <v>43</v>
      </c>
      <c r="C24" t="s">
        <v>20</v>
      </c>
      <c r="D24" t="s">
        <v>21</v>
      </c>
      <c r="E24">
        <v>3</v>
      </c>
      <c r="F24">
        <v>5.99</v>
      </c>
      <c r="G24" s="1">
        <v>45298</v>
      </c>
      <c r="H24" t="s">
        <v>22</v>
      </c>
      <c r="I24">
        <f t="shared" si="0"/>
        <v>17.97</v>
      </c>
    </row>
    <row r="25" spans="1:9" x14ac:dyDescent="0.25">
      <c r="A25">
        <v>1024</v>
      </c>
      <c r="B25" t="s">
        <v>44</v>
      </c>
      <c r="C25" t="s">
        <v>23</v>
      </c>
      <c r="D25" t="s">
        <v>11</v>
      </c>
      <c r="E25">
        <v>1</v>
      </c>
      <c r="F25">
        <v>15.5</v>
      </c>
      <c r="G25" s="1">
        <v>45299</v>
      </c>
      <c r="H25" t="s">
        <v>12</v>
      </c>
      <c r="I25">
        <f t="shared" si="0"/>
        <v>15.5</v>
      </c>
    </row>
    <row r="26" spans="1:9" x14ac:dyDescent="0.25">
      <c r="A26">
        <v>1025</v>
      </c>
      <c r="B26" t="s">
        <v>45</v>
      </c>
      <c r="C26" t="s">
        <v>24</v>
      </c>
      <c r="D26" t="s">
        <v>14</v>
      </c>
      <c r="E26">
        <v>1</v>
      </c>
      <c r="F26">
        <v>799</v>
      </c>
      <c r="G26" s="1">
        <v>45300</v>
      </c>
      <c r="H26" t="s">
        <v>25</v>
      </c>
      <c r="I26">
        <f t="shared" si="0"/>
        <v>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PivotTable</vt:lpstr>
      <vt:lpstr>PivotTable (2)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Ouro Gouni, Arafat</dc:creator>
  <cp:lastModifiedBy>Ouro Gouni, Arafat</cp:lastModifiedBy>
  <dcterms:created xsi:type="dcterms:W3CDTF">2026-10-15T20:36:45Z</dcterms:created>
  <dcterms:modified xsi:type="dcterms:W3CDTF">2026-10-22T03:56:48Z</dcterms:modified>
</cp:coreProperties>
</file>